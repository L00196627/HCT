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a76cd2d252609/Documents/Lab Reports/Hybrid Cloud Technology/"/>
    </mc:Choice>
  </mc:AlternateContent>
  <xr:revisionPtr revIDLastSave="0" documentId="14_{F0FE4AD2-840F-42AF-ABA8-CEDB68966A79}" xr6:coauthVersionLast="47" xr6:coauthVersionMax="47" xr10:uidLastSave="{00000000-0000-0000-0000-000000000000}"/>
  <bookViews>
    <workbookView xWindow="-108" yWindow="-108" windowWidth="23256" windowHeight="12456" xr2:uid="{5E92AC5F-A1C1-42CF-8F6D-0BC69FAE4DC4}"/>
  </bookViews>
  <sheets>
    <sheet name="Cost" sheetId="4" r:id="rId1"/>
    <sheet name="Compute" sheetId="1" r:id="rId2"/>
    <sheet name="Storag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4" l="1"/>
  <c r="F10" i="4"/>
  <c r="G10" i="4" s="1"/>
  <c r="H10" i="4" s="1"/>
  <c r="H3" i="4"/>
  <c r="H4" i="4"/>
  <c r="H5" i="4"/>
  <c r="H6" i="4"/>
  <c r="H7" i="4"/>
  <c r="H8" i="4"/>
  <c r="H9" i="4"/>
  <c r="H2" i="4"/>
  <c r="G3" i="4"/>
  <c r="G4" i="4"/>
  <c r="G5" i="4"/>
  <c r="G6" i="4"/>
  <c r="G7" i="4"/>
  <c r="G8" i="4"/>
  <c r="G9" i="4"/>
  <c r="G2" i="4"/>
  <c r="F3" i="4"/>
  <c r="F4" i="4"/>
  <c r="F5" i="4"/>
  <c r="F6" i="4"/>
  <c r="F7" i="4"/>
  <c r="F8" i="4"/>
  <c r="F9" i="4"/>
  <c r="F2" i="4"/>
  <c r="K19" i="4" l="1"/>
  <c r="C12" i="2"/>
  <c r="C9" i="2"/>
  <c r="B9" i="2"/>
  <c r="E11" i="1"/>
  <c r="G11" i="1"/>
  <c r="G5" i="1"/>
  <c r="G6" i="1"/>
  <c r="G7" i="1"/>
  <c r="G8" i="1"/>
  <c r="G9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 Edwards</author>
  </authors>
  <commentList>
    <comment ref="D8" authorId="0" shapeId="0" xr:uid="{00C929D1-486A-4CA0-89DD-0FDA2F664B87}">
      <text>
        <r>
          <rPr>
            <b/>
            <sz val="9"/>
            <color indexed="81"/>
            <rFont val="Tahoma"/>
            <family val="2"/>
          </rPr>
          <t>price per hour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" authorId="0" shapeId="0" xr:uid="{2665ABCA-A9B4-485D-9D5E-04E84E99C39E}">
      <text>
        <r>
          <rPr>
            <sz val="9"/>
            <color indexed="81"/>
            <rFont val="Tahoma"/>
            <family val="2"/>
          </rPr>
          <t xml:space="preserve">price per hour
</t>
        </r>
      </text>
    </comment>
  </commentList>
</comments>
</file>

<file path=xl/sharedStrings.xml><?xml version="1.0" encoding="utf-8"?>
<sst xmlns="http://schemas.openxmlformats.org/spreadsheetml/2006/main" count="72" uniqueCount="67">
  <si>
    <t>Cores/VM</t>
  </si>
  <si>
    <t>Qty</t>
  </si>
  <si>
    <t>Oversubscription</t>
  </si>
  <si>
    <t>DRAM per VM</t>
  </si>
  <si>
    <t>Total DRAM</t>
  </si>
  <si>
    <t>Host</t>
  </si>
  <si>
    <t>Windows Server Core</t>
  </si>
  <si>
    <t>Windows Server GUI</t>
  </si>
  <si>
    <t>Windows File Server Core</t>
  </si>
  <si>
    <t>App Server CMS</t>
  </si>
  <si>
    <t>DB Server CMS</t>
  </si>
  <si>
    <t>Ubuntu Server</t>
  </si>
  <si>
    <t>Totals</t>
  </si>
  <si>
    <t>32GB DIMMs</t>
  </si>
  <si>
    <t>Lifetime</t>
  </si>
  <si>
    <t>5 years</t>
  </si>
  <si>
    <t>Warranty</t>
  </si>
  <si>
    <t>1 year</t>
  </si>
  <si>
    <t>Support</t>
  </si>
  <si>
    <t>Parts + NDW</t>
  </si>
  <si>
    <t>Support &amp; Warranty</t>
  </si>
  <si>
    <t>Technology</t>
  </si>
  <si>
    <t>BOSS</t>
  </si>
  <si>
    <t>2 NVMe</t>
  </si>
  <si>
    <t>240GB</t>
  </si>
  <si>
    <t>App server CMS</t>
  </si>
  <si>
    <t>DB server CMS</t>
  </si>
  <si>
    <t>Ubuntu</t>
  </si>
  <si>
    <t>OS(GB)</t>
  </si>
  <si>
    <t>Data Stores (TB)</t>
  </si>
  <si>
    <t>RAID 6</t>
  </si>
  <si>
    <t>Device</t>
  </si>
  <si>
    <t>Link</t>
  </si>
  <si>
    <t>https://www.dell.com/en-ie/shop/ipovw/poweredge-r760</t>
  </si>
  <si>
    <t>Dell PowerEdge R760</t>
  </si>
  <si>
    <t>PowerEdge R760</t>
  </si>
  <si>
    <t>https://www.dell.com/en-ie/shop/netshelter-sx-deep-enclosure-rack-cabinet-black-24u-19-inch/apd/a7522217/power-cooling-data-center-infrastructure</t>
  </si>
  <si>
    <t>NetShelter SX Deep Enclosure</t>
  </si>
  <si>
    <t>https://www.dell.com/en-ie/shop/readyrails-2u-static-rails-for-2-4-post-racks/apd/770-bebq/wifi-and-networking</t>
  </si>
  <si>
    <t>ReadyRails 2U</t>
  </si>
  <si>
    <t>Function</t>
  </si>
  <si>
    <t>Server</t>
  </si>
  <si>
    <t>Rack</t>
  </si>
  <si>
    <t>Rack Rail</t>
  </si>
  <si>
    <t>https://www.cisco.com/c/en/us/products/collateral/switches/catalyst-9000/nb-06-cat-9k-aag-cte-en.html#Howtobuy</t>
  </si>
  <si>
    <t>Cisco Catalyst 9000</t>
  </si>
  <si>
    <t>Switch</t>
  </si>
  <si>
    <t>https://www.dell.com/en-ie/shop/apc-by-schneider-electric-smart-ups-double-conversion-online-ups-220-kva-198-kw/apd/a8654955/power-cooling-data-center-infrastructure</t>
  </si>
  <si>
    <t>Smart UPS Double Conversion Online UPS</t>
  </si>
  <si>
    <t>UPS</t>
  </si>
  <si>
    <t>https://www.dell.com/en-ie/shop/apc-by-schneider-electric-netshelter-ap8881-pdu/apd/a7067537/power-cooling-data-center-infrastructure</t>
  </si>
  <si>
    <t>NetShelter AP8881</t>
  </si>
  <si>
    <t>PDU</t>
  </si>
  <si>
    <t>Total Net Price</t>
  </si>
  <si>
    <t>Net Price per unit</t>
  </si>
  <si>
    <t>Total Cores</t>
  </si>
  <si>
    <t>Labour - Installers</t>
  </si>
  <si>
    <t>Labour - Consultant</t>
  </si>
  <si>
    <t>Installers</t>
  </si>
  <si>
    <t>Consultant</t>
  </si>
  <si>
    <t>VAT Rate</t>
  </si>
  <si>
    <t>VAT Amount</t>
  </si>
  <si>
    <t>Gross price per unit</t>
  </si>
  <si>
    <t xml:space="preserve"> Total Gross Price</t>
  </si>
  <si>
    <t>License - Windows Server Datacenter (16-core)</t>
  </si>
  <si>
    <t>License</t>
  </si>
  <si>
    <t>https://www.microsoft.com/en-us/windows-server/pricing?msockid=03330447bfea69e1183e1211be736842&amp;utm_source=chatgpt.com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</si>
</sst>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83C]#,##0"/>
    <numFmt numFmtId="165" formatCode="[$€-2]\ #,##0.00"/>
    <numFmt numFmtId="166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textRotation="45"/>
    </xf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/>
    <xf numFmtId="0" fontId="2" fillId="0" borderId="0" xfId="1" applyProtection="1">
      <protection locked="0" hidden="1"/>
    </xf>
    <xf numFmtId="0" fontId="0" fillId="0" borderId="0" xfId="0" applyProtection="1">
      <protection locked="0" hidden="1"/>
    </xf>
    <xf numFmtId="0" fontId="1" fillId="0" borderId="0" xfId="0" applyFont="1" applyAlignment="1">
      <alignment textRotation="41"/>
    </xf>
    <xf numFmtId="165" fontId="1" fillId="0" borderId="9" xfId="0" applyNumberFormat="1" applyFont="1" applyBorder="1"/>
    <xf numFmtId="165" fontId="1" fillId="0" borderId="10" xfId="0" applyNumberFormat="1" applyFont="1" applyBorder="1"/>
    <xf numFmtId="0" fontId="1" fillId="0" borderId="11" xfId="0" applyFont="1" applyBorder="1"/>
    <xf numFmtId="166" fontId="0" fillId="0" borderId="0" xfId="0" applyNumberFormat="1"/>
    <xf numFmtId="0" fontId="1" fillId="0" borderId="0" xfId="0" applyFont="1" applyAlignment="1">
      <alignment textRotation="4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microsoft.com/en-us/windows-server/pricing?msockid=03330447bfea69e1183e1211be736842&amp;utm_source=chatgpt.com" TargetMode="External"/><Relationship Id="rId1" Type="http://schemas.openxmlformats.org/officeDocument/2006/relationships/hyperlink" Target="https://www.dell.com/en-ie/shop/ipovw/poweredge-r760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567B-77F1-4C88-8B23-29BD23992912}">
  <dimension ref="A1:K24"/>
  <sheetViews>
    <sheetView tabSelected="1" topLeftCell="C1" workbookViewId="0">
      <pane ySplit="1" topLeftCell="A4" activePane="bottomLeft" state="frozen"/>
      <selection pane="bottomLeft" activeCell="I14" sqref="I14"/>
    </sheetView>
  </sheetViews>
  <sheetFormatPr defaultRowHeight="14.4" x14ac:dyDescent="0.3"/>
  <cols>
    <col min="1" max="1" width="38.21875" customWidth="1"/>
    <col min="2" max="2" width="26.33203125" customWidth="1"/>
    <col min="3" max="3" width="10" customWidth="1"/>
    <col min="4" max="8" width="21" customWidth="1"/>
    <col min="9" max="9" width="57" customWidth="1"/>
  </cols>
  <sheetData>
    <row r="1" spans="1:9" ht="70.8" x14ac:dyDescent="0.3">
      <c r="A1" s="15" t="s">
        <v>31</v>
      </c>
      <c r="B1" s="15" t="s">
        <v>40</v>
      </c>
      <c r="C1" s="15" t="s">
        <v>1</v>
      </c>
      <c r="D1" s="15" t="s">
        <v>54</v>
      </c>
      <c r="E1" s="15" t="s">
        <v>60</v>
      </c>
      <c r="F1" s="15" t="s">
        <v>61</v>
      </c>
      <c r="G1" s="15" t="s">
        <v>62</v>
      </c>
      <c r="H1" s="15" t="s">
        <v>63</v>
      </c>
      <c r="I1" s="15" t="s">
        <v>32</v>
      </c>
    </row>
    <row r="2" spans="1:9" x14ac:dyDescent="0.3">
      <c r="A2" t="s">
        <v>34</v>
      </c>
      <c r="B2" t="s">
        <v>41</v>
      </c>
      <c r="C2">
        <v>1</v>
      </c>
      <c r="D2" s="12">
        <v>15256.78</v>
      </c>
      <c r="E2" s="19">
        <v>0.23</v>
      </c>
      <c r="F2" s="12">
        <f>D2*E2</f>
        <v>3509.0594000000001</v>
      </c>
      <c r="G2" s="12">
        <f>D2+F2</f>
        <v>18765.839400000001</v>
      </c>
      <c r="H2" s="12">
        <f>G2*C2</f>
        <v>18765.839400000001</v>
      </c>
      <c r="I2" s="13" t="s">
        <v>33</v>
      </c>
    </row>
    <row r="3" spans="1:9" x14ac:dyDescent="0.3">
      <c r="A3" t="s">
        <v>37</v>
      </c>
      <c r="B3" t="s">
        <v>42</v>
      </c>
      <c r="C3">
        <v>1</v>
      </c>
      <c r="D3" s="12">
        <v>1474.55</v>
      </c>
      <c r="E3" s="19">
        <v>0.23</v>
      </c>
      <c r="F3" s="12">
        <f t="shared" ref="F3:F10" si="0">D3*E3</f>
        <v>339.1465</v>
      </c>
      <c r="G3" s="12">
        <f t="shared" ref="G3:G10" si="1">D3+F3</f>
        <v>1813.6965</v>
      </c>
      <c r="H3" s="12">
        <f t="shared" ref="H3:H10" si="2">G3*C3</f>
        <v>1813.6965</v>
      </c>
      <c r="I3" s="14" t="s">
        <v>36</v>
      </c>
    </row>
    <row r="4" spans="1:9" x14ac:dyDescent="0.3">
      <c r="A4" t="s">
        <v>39</v>
      </c>
      <c r="B4" t="s">
        <v>43</v>
      </c>
      <c r="C4">
        <v>2</v>
      </c>
      <c r="D4" s="12">
        <v>71.790000000000006</v>
      </c>
      <c r="E4" s="19">
        <v>0.23</v>
      </c>
      <c r="F4" s="12">
        <f t="shared" si="0"/>
        <v>16.511700000000001</v>
      </c>
      <c r="G4" s="12">
        <f t="shared" si="1"/>
        <v>88.301700000000011</v>
      </c>
      <c r="H4" s="12">
        <f t="shared" si="2"/>
        <v>176.60340000000002</v>
      </c>
      <c r="I4" s="14" t="s">
        <v>38</v>
      </c>
    </row>
    <row r="5" spans="1:9" x14ac:dyDescent="0.3">
      <c r="A5" t="s">
        <v>45</v>
      </c>
      <c r="B5" t="s">
        <v>46</v>
      </c>
      <c r="C5">
        <v>2</v>
      </c>
      <c r="D5" s="12">
        <v>1285.9000000000001</v>
      </c>
      <c r="E5" s="19">
        <v>0.23</v>
      </c>
      <c r="F5" s="12">
        <f t="shared" si="0"/>
        <v>295.75700000000006</v>
      </c>
      <c r="G5" s="12">
        <f t="shared" si="1"/>
        <v>1581.6570000000002</v>
      </c>
      <c r="H5" s="12">
        <f t="shared" si="2"/>
        <v>3163.3140000000003</v>
      </c>
      <c r="I5" s="14" t="s">
        <v>44</v>
      </c>
    </row>
    <row r="6" spans="1:9" x14ac:dyDescent="0.3">
      <c r="A6" t="s">
        <v>48</v>
      </c>
      <c r="B6" t="s">
        <v>49</v>
      </c>
      <c r="C6">
        <v>2</v>
      </c>
      <c r="D6" s="12">
        <v>2464.5</v>
      </c>
      <c r="E6" s="19">
        <v>0.23</v>
      </c>
      <c r="F6" s="12">
        <f t="shared" si="0"/>
        <v>566.83500000000004</v>
      </c>
      <c r="G6" s="12">
        <f t="shared" si="1"/>
        <v>3031.335</v>
      </c>
      <c r="H6" s="12">
        <f t="shared" si="2"/>
        <v>6062.67</v>
      </c>
      <c r="I6" s="14" t="s">
        <v>47</v>
      </c>
    </row>
    <row r="7" spans="1:9" x14ac:dyDescent="0.3">
      <c r="A7" t="s">
        <v>51</v>
      </c>
      <c r="B7" t="s">
        <v>52</v>
      </c>
      <c r="C7">
        <v>1</v>
      </c>
      <c r="D7" s="12">
        <v>1316.7</v>
      </c>
      <c r="E7" s="19">
        <v>0.23</v>
      </c>
      <c r="F7" s="12">
        <f t="shared" si="0"/>
        <v>302.84100000000001</v>
      </c>
      <c r="G7" s="12">
        <f t="shared" si="1"/>
        <v>1619.5410000000002</v>
      </c>
      <c r="H7" s="12">
        <f t="shared" si="2"/>
        <v>1619.5410000000002</v>
      </c>
      <c r="I7" s="14" t="s">
        <v>50</v>
      </c>
    </row>
    <row r="8" spans="1:9" x14ac:dyDescent="0.3">
      <c r="A8" t="s">
        <v>56</v>
      </c>
      <c r="B8" t="s">
        <v>58</v>
      </c>
      <c r="C8">
        <v>16</v>
      </c>
      <c r="D8" s="12">
        <v>50</v>
      </c>
      <c r="E8" s="19">
        <v>0.13500000000000001</v>
      </c>
      <c r="F8" s="12">
        <f t="shared" si="0"/>
        <v>6.75</v>
      </c>
      <c r="G8" s="12">
        <f t="shared" si="1"/>
        <v>56.75</v>
      </c>
      <c r="H8" s="12">
        <f t="shared" si="2"/>
        <v>908</v>
      </c>
      <c r="I8" s="12"/>
    </row>
    <row r="9" spans="1:9" x14ac:dyDescent="0.3">
      <c r="A9" t="s">
        <v>57</v>
      </c>
      <c r="B9" t="s">
        <v>59</v>
      </c>
      <c r="C9">
        <v>8</v>
      </c>
      <c r="D9" s="12">
        <v>120</v>
      </c>
      <c r="E9" s="19">
        <v>0.13500000000000001</v>
      </c>
      <c r="F9" s="12">
        <f t="shared" si="0"/>
        <v>16.200000000000003</v>
      </c>
      <c r="G9" s="12">
        <f t="shared" si="1"/>
        <v>136.19999999999999</v>
      </c>
      <c r="H9" s="12">
        <f t="shared" si="2"/>
        <v>1089.5999999999999</v>
      </c>
      <c r="I9" s="12"/>
    </row>
    <row r="10" spans="1:9" ht="15" thickBot="1" x14ac:dyDescent="0.35">
      <c r="A10" t="s">
        <v>64</v>
      </c>
      <c r="B10" t="s">
        <v>65</v>
      </c>
      <c r="C10">
        <v>1</v>
      </c>
      <c r="D10" s="12">
        <v>4620</v>
      </c>
      <c r="E10" s="19">
        <v>0.23</v>
      </c>
      <c r="F10" s="12">
        <f t="shared" si="0"/>
        <v>1062.6000000000001</v>
      </c>
      <c r="G10" s="12">
        <f t="shared" si="1"/>
        <v>5682.6</v>
      </c>
      <c r="H10" s="12">
        <f t="shared" si="2"/>
        <v>5682.6</v>
      </c>
      <c r="I10" s="13" t="s">
        <v>66</v>
      </c>
    </row>
    <row r="11" spans="1:9" x14ac:dyDescent="0.3">
      <c r="D11" s="12"/>
      <c r="E11" s="12"/>
      <c r="F11" s="12"/>
      <c r="G11" s="12"/>
      <c r="H11" s="12"/>
      <c r="I11" s="18" t="s">
        <v>53</v>
      </c>
    </row>
    <row r="12" spans="1:9" x14ac:dyDescent="0.3">
      <c r="D12" s="12"/>
      <c r="E12" s="12"/>
      <c r="F12" s="12"/>
      <c r="G12" s="12"/>
      <c r="H12" s="12"/>
      <c r="I12" s="16"/>
    </row>
    <row r="13" spans="1:9" ht="15" thickBot="1" x14ac:dyDescent="0.35">
      <c r="D13" s="12"/>
      <c r="E13" s="12"/>
      <c r="F13" s="12"/>
      <c r="G13" s="12"/>
      <c r="H13" s="12"/>
      <c r="I13" s="17">
        <f>SUM(H2:H10)</f>
        <v>39281.864300000001</v>
      </c>
    </row>
    <row r="14" spans="1:9" x14ac:dyDescent="0.3">
      <c r="D14" s="12"/>
      <c r="E14" s="12"/>
      <c r="F14" s="12"/>
      <c r="G14" s="12"/>
      <c r="H14" s="12"/>
    </row>
    <row r="15" spans="1:9" x14ac:dyDescent="0.3">
      <c r="D15" s="12"/>
      <c r="E15" s="12"/>
      <c r="F15" s="12"/>
      <c r="G15" s="12"/>
      <c r="H15" s="12"/>
    </row>
    <row r="16" spans="1:9" x14ac:dyDescent="0.3">
      <c r="D16" s="12"/>
      <c r="E16" s="12"/>
      <c r="F16" s="12"/>
      <c r="G16" s="12"/>
      <c r="H16" s="12"/>
    </row>
    <row r="17" spans="4:11" x14ac:dyDescent="0.3">
      <c r="D17" s="12"/>
      <c r="E17" s="12"/>
      <c r="F17" s="12"/>
      <c r="G17" s="12"/>
      <c r="H17" s="12"/>
      <c r="I17" s="3" t="s">
        <v>20</v>
      </c>
    </row>
    <row r="18" spans="4:11" x14ac:dyDescent="0.3">
      <c r="D18" s="12"/>
      <c r="E18" s="12"/>
      <c r="F18" s="12"/>
      <c r="G18" s="12"/>
      <c r="H18" s="12"/>
      <c r="I18" s="4" t="s">
        <v>14</v>
      </c>
      <c r="J18" s="5" t="s">
        <v>15</v>
      </c>
      <c r="K18" s="6"/>
    </row>
    <row r="19" spans="4:11" x14ac:dyDescent="0.3">
      <c r="D19" s="12"/>
      <c r="E19" s="12"/>
      <c r="F19" s="12"/>
      <c r="G19" s="12"/>
      <c r="H19" s="12"/>
      <c r="I19" s="7" t="s">
        <v>16</v>
      </c>
      <c r="J19" t="s">
        <v>17</v>
      </c>
      <c r="K19" s="8">
        <f>I13/5</f>
        <v>7856.3728600000004</v>
      </c>
    </row>
    <row r="20" spans="4:11" x14ac:dyDescent="0.3">
      <c r="D20" s="12"/>
      <c r="E20" s="12"/>
      <c r="F20" s="12"/>
      <c r="G20" s="12"/>
      <c r="H20" s="12"/>
      <c r="I20" s="9" t="s">
        <v>18</v>
      </c>
      <c r="J20" s="10" t="s">
        <v>19</v>
      </c>
      <c r="K20" s="11"/>
    </row>
    <row r="21" spans="4:11" x14ac:dyDescent="0.3">
      <c r="D21" s="12"/>
      <c r="E21" s="12"/>
      <c r="F21" s="12"/>
      <c r="G21" s="12"/>
      <c r="H21" s="12"/>
    </row>
    <row r="22" spans="4:11" x14ac:dyDescent="0.3">
      <c r="D22" s="12"/>
      <c r="E22" s="12"/>
      <c r="F22" s="12"/>
      <c r="G22" s="12"/>
      <c r="H22" s="12"/>
    </row>
    <row r="23" spans="4:11" x14ac:dyDescent="0.3">
      <c r="D23" s="12"/>
      <c r="E23" s="12"/>
      <c r="F23" s="12"/>
      <c r="G23" s="12"/>
      <c r="H23" s="12"/>
    </row>
    <row r="24" spans="4:11" x14ac:dyDescent="0.3">
      <c r="D24" s="12"/>
      <c r="E24" s="12"/>
      <c r="F24" s="12"/>
      <c r="G24" s="12"/>
      <c r="H24" s="12"/>
    </row>
  </sheetData>
  <hyperlinks>
    <hyperlink ref="I2" r:id="rId1" xr:uid="{47844AA9-BFD9-4ACE-9568-AF065C882B6F}"/>
    <hyperlink ref="I10" r:id="rId2" xr:uid="{C37044B2-6EAA-4C36-AB07-6187E238292C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5DD5-DC64-4F78-BA94-2C63CAEED044}">
  <dimension ref="A1:K22"/>
  <sheetViews>
    <sheetView workbookViewId="0">
      <selection activeCell="A2" sqref="A2"/>
    </sheetView>
  </sheetViews>
  <sheetFormatPr defaultRowHeight="14.4" x14ac:dyDescent="0.3"/>
  <cols>
    <col min="1" max="1" width="23.77734375" customWidth="1"/>
    <col min="2" max="2" width="14.6640625" customWidth="1"/>
    <col min="4" max="4" width="20.77734375" customWidth="1"/>
    <col min="6" max="6" width="16.33203125" customWidth="1"/>
    <col min="10" max="10" width="16.5546875" customWidth="1"/>
  </cols>
  <sheetData>
    <row r="1" spans="1:11" s="1" customFormat="1" ht="67.8" x14ac:dyDescent="0.3">
      <c r="A1" s="20" t="s">
        <v>21</v>
      </c>
      <c r="B1" s="20" t="s">
        <v>0</v>
      </c>
      <c r="C1" s="20" t="s">
        <v>1</v>
      </c>
      <c r="D1" s="20" t="s">
        <v>2</v>
      </c>
      <c r="E1" s="20" t="s">
        <v>55</v>
      </c>
      <c r="F1" s="20" t="s">
        <v>3</v>
      </c>
      <c r="G1" s="20" t="s">
        <v>4</v>
      </c>
      <c r="H1" s="20"/>
      <c r="I1" s="20"/>
    </row>
    <row r="2" spans="1:11" x14ac:dyDescent="0.3">
      <c r="A2" t="s">
        <v>5</v>
      </c>
      <c r="E2">
        <v>4</v>
      </c>
      <c r="G2">
        <v>32</v>
      </c>
    </row>
    <row r="4" spans="1:11" x14ac:dyDescent="0.3">
      <c r="A4" t="s">
        <v>6</v>
      </c>
      <c r="B4">
        <v>2</v>
      </c>
      <c r="C4">
        <v>1</v>
      </c>
      <c r="D4">
        <v>1</v>
      </c>
      <c r="E4">
        <v>2</v>
      </c>
      <c r="F4">
        <v>4</v>
      </c>
      <c r="G4">
        <f>F4*C4</f>
        <v>4</v>
      </c>
      <c r="I4" s="3"/>
    </row>
    <row r="5" spans="1:11" x14ac:dyDescent="0.3">
      <c r="A5" t="s">
        <v>7</v>
      </c>
      <c r="B5">
        <v>2</v>
      </c>
      <c r="C5">
        <v>1</v>
      </c>
      <c r="D5">
        <v>1</v>
      </c>
      <c r="E5">
        <v>2</v>
      </c>
      <c r="F5">
        <v>8</v>
      </c>
      <c r="G5">
        <f t="shared" ref="G5:G9" si="0">F5*C5</f>
        <v>8</v>
      </c>
      <c r="I5" s="4"/>
      <c r="J5" s="5"/>
      <c r="K5" s="6"/>
    </row>
    <row r="6" spans="1:11" x14ac:dyDescent="0.3">
      <c r="A6" t="s">
        <v>8</v>
      </c>
      <c r="B6">
        <v>4</v>
      </c>
      <c r="C6">
        <v>2</v>
      </c>
      <c r="D6">
        <v>1</v>
      </c>
      <c r="E6">
        <v>8</v>
      </c>
      <c r="F6">
        <v>8</v>
      </c>
      <c r="G6">
        <f t="shared" si="0"/>
        <v>16</v>
      </c>
      <c r="I6" s="7"/>
      <c r="K6" s="8"/>
    </row>
    <row r="7" spans="1:11" x14ac:dyDescent="0.3">
      <c r="A7" t="s">
        <v>9</v>
      </c>
      <c r="B7">
        <v>8</v>
      </c>
      <c r="C7">
        <v>1</v>
      </c>
      <c r="D7">
        <v>1</v>
      </c>
      <c r="E7">
        <v>8</v>
      </c>
      <c r="F7">
        <v>64</v>
      </c>
      <c r="G7">
        <f t="shared" si="0"/>
        <v>64</v>
      </c>
      <c r="I7" s="9"/>
      <c r="J7" s="10"/>
      <c r="K7" s="11"/>
    </row>
    <row r="8" spans="1:11" x14ac:dyDescent="0.3">
      <c r="A8" t="s">
        <v>10</v>
      </c>
      <c r="B8">
        <v>8</v>
      </c>
      <c r="C8">
        <v>1</v>
      </c>
      <c r="D8">
        <v>1</v>
      </c>
      <c r="E8">
        <v>8</v>
      </c>
      <c r="F8">
        <v>128</v>
      </c>
      <c r="G8">
        <f t="shared" si="0"/>
        <v>128</v>
      </c>
    </row>
    <row r="9" spans="1:11" x14ac:dyDescent="0.3">
      <c r="A9" t="s">
        <v>11</v>
      </c>
      <c r="B9">
        <v>2</v>
      </c>
      <c r="C9">
        <v>2</v>
      </c>
      <c r="D9">
        <v>1</v>
      </c>
      <c r="E9">
        <v>4</v>
      </c>
      <c r="F9">
        <v>8</v>
      </c>
      <c r="G9">
        <f t="shared" si="0"/>
        <v>16</v>
      </c>
    </row>
    <row r="11" spans="1:11" x14ac:dyDescent="0.3">
      <c r="A11" t="s">
        <v>12</v>
      </c>
      <c r="E11">
        <f>SUM(E2:E9)</f>
        <v>36</v>
      </c>
      <c r="G11">
        <f xml:space="preserve"> SUM(G2:G9)</f>
        <v>268</v>
      </c>
    </row>
    <row r="18" spans="1:8" x14ac:dyDescent="0.3">
      <c r="A18" t="s">
        <v>35</v>
      </c>
      <c r="B18">
        <v>2</v>
      </c>
      <c r="C18">
        <v>48</v>
      </c>
    </row>
    <row r="19" spans="1:8" x14ac:dyDescent="0.3">
      <c r="A19" t="s">
        <v>13</v>
      </c>
      <c r="B19">
        <v>16</v>
      </c>
      <c r="C19">
        <v>512</v>
      </c>
      <c r="H19" s="2"/>
    </row>
    <row r="20" spans="1:8" x14ac:dyDescent="0.3">
      <c r="B20" s="2"/>
    </row>
    <row r="22" spans="1:8" x14ac:dyDescent="0.3">
      <c r="C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8319-A823-4AEF-AD47-CA35518A2DF7}">
  <dimension ref="A1:D12"/>
  <sheetViews>
    <sheetView workbookViewId="0">
      <selection activeCell="A13" sqref="A13"/>
    </sheetView>
  </sheetViews>
  <sheetFormatPr defaultRowHeight="14.4" x14ac:dyDescent="0.3"/>
  <cols>
    <col min="1" max="1" width="27" customWidth="1"/>
    <col min="3" max="3" width="14.21875" customWidth="1"/>
  </cols>
  <sheetData>
    <row r="1" spans="1:4" x14ac:dyDescent="0.3">
      <c r="A1" s="3" t="s">
        <v>21</v>
      </c>
      <c r="B1" s="3" t="s">
        <v>28</v>
      </c>
      <c r="C1" s="3" t="s">
        <v>29</v>
      </c>
      <c r="D1" s="3"/>
    </row>
    <row r="2" spans="1:4" x14ac:dyDescent="0.3">
      <c r="A2" t="s">
        <v>6</v>
      </c>
      <c r="B2">
        <v>64</v>
      </c>
    </row>
    <row r="3" spans="1:4" x14ac:dyDescent="0.3">
      <c r="A3" t="s">
        <v>7</v>
      </c>
      <c r="B3">
        <v>64</v>
      </c>
    </row>
    <row r="4" spans="1:4" x14ac:dyDescent="0.3">
      <c r="A4" t="s">
        <v>8</v>
      </c>
      <c r="B4">
        <v>64</v>
      </c>
      <c r="C4">
        <v>10</v>
      </c>
    </row>
    <row r="5" spans="1:4" x14ac:dyDescent="0.3">
      <c r="A5" t="s">
        <v>25</v>
      </c>
      <c r="B5">
        <v>64</v>
      </c>
    </row>
    <row r="6" spans="1:4" x14ac:dyDescent="0.3">
      <c r="A6" t="s">
        <v>26</v>
      </c>
      <c r="B6">
        <v>64</v>
      </c>
      <c r="C6">
        <v>10</v>
      </c>
    </row>
    <row r="7" spans="1:4" x14ac:dyDescent="0.3">
      <c r="A7" t="s">
        <v>27</v>
      </c>
      <c r="B7">
        <v>64</v>
      </c>
      <c r="C7">
        <v>2</v>
      </c>
    </row>
    <row r="9" spans="1:4" x14ac:dyDescent="0.3">
      <c r="B9">
        <f>SUM(B2:B7)</f>
        <v>384</v>
      </c>
      <c r="C9">
        <f>SUM(C2:C7)</f>
        <v>22</v>
      </c>
    </row>
    <row r="11" spans="1:4" x14ac:dyDescent="0.3">
      <c r="A11" t="s">
        <v>22</v>
      </c>
      <c r="B11" t="s">
        <v>23</v>
      </c>
      <c r="C11" t="s">
        <v>24</v>
      </c>
    </row>
    <row r="12" spans="1:4" x14ac:dyDescent="0.3">
      <c r="A12" t="s">
        <v>30</v>
      </c>
      <c r="C12">
        <f>8*3.84</f>
        <v>30.72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Compute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Edwards</dc:creator>
  <cp:lastModifiedBy>Ethan Edwards</cp:lastModifiedBy>
  <dcterms:created xsi:type="dcterms:W3CDTF">2026-05-17T15:41:30Z</dcterms:created>
  <dcterms:modified xsi:type="dcterms:W3CDTF">2026-05-25T20:28:44Z</dcterms:modified>
</cp:coreProperties>
</file>